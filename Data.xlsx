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F4BDB3C-BDAB-496C-9E01-FF85D7FA34F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</workbook>
</file>

<file path=xl/calcChain.xml><?xml version="1.0" encoding="utf-8"?>
<calcChain xmlns="http://schemas.openxmlformats.org/spreadsheetml/2006/main">
  <c r="E8" i="3" l="1"/>
  <c r="E9" i="3"/>
  <c r="E10" i="3"/>
  <c r="E7" i="3"/>
  <c r="D8" i="3"/>
  <c r="F8" i="3" s="1"/>
  <c r="D9" i="3"/>
  <c r="F9" i="3" s="1"/>
  <c r="D10" i="3"/>
  <c r="F10" i="3" s="1"/>
  <c r="C14" i="1"/>
  <c r="D7" i="3"/>
  <c r="F7" i="3" s="1"/>
  <c r="E10" i="2"/>
  <c r="F10" i="2" s="1"/>
  <c r="E11" i="2"/>
  <c r="E12" i="2"/>
  <c r="E13" i="2"/>
  <c r="E9" i="2"/>
  <c r="F9" i="2" s="1"/>
  <c r="D10" i="2" l="1"/>
  <c r="D11" i="2"/>
  <c r="F11" i="2" s="1"/>
  <c r="D12" i="2"/>
  <c r="F12" i="2" s="1"/>
  <c r="D13" i="2"/>
  <c r="F13" i="2" s="1"/>
  <c r="D9" i="2"/>
  <c r="C12" i="2"/>
  <c r="C13" i="2"/>
  <c r="C10" i="2"/>
  <c r="C11" i="2"/>
  <c r="C9" i="2"/>
  <c r="F15" i="2" l="1"/>
</calcChain>
</file>

<file path=xl/sharedStrings.xml><?xml version="1.0" encoding="utf-8"?>
<sst xmlns="http://schemas.openxmlformats.org/spreadsheetml/2006/main" count="92" uniqueCount="54">
  <si>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</si>
  <si>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</si>
  <si>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</si>
  <si>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</si>
  <si>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</si>
  <si>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</si>
  <si>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</si>
  <si>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</si>
  <si>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</si>
  <si>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</si>
  <si>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</si>
  <si>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</si>
  <si>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</si>
  <si>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</si>
  <si>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</si>
  <si>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</si>
  <si>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</si>
  <si>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</si>
  <si>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</si>
  <si>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</si>
  <si>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</si>
  <si>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</si>
  <si>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</si>
  <si>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</si>
  <si>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</si>
  <si>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</si>
  <si>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</si>
  <si>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</si>
  <si>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</si>
  <si>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</si>
  <si>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</si>
  <si>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</si>
  <si>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</si>
  <si>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</si>
  <si>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</si>
  <si>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</si>
  <si>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</si>
  <si>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</si>
  <si>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</si>
  <si>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</si>
  <si>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</si>
  <si>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</si>
  <si>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</si>
  <si>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</si>
  <si>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</si>
  <si>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</si>
  <si>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</si>
  <si>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units sold</t>
  </si>
  <si>
    <t>Total Sales Value</t>
  </si>
  <si>
    <t>total revenue generated:</t>
  </si>
  <si>
    <t>Actual Sales</t>
  </si>
  <si>
    <t>Difference</t>
  </si>
  <si>
    <t xml:space="preserve">In another section of the file, an HLOOKUP table shows monthly Target Sales for each 
region in a horizontal format. Use HLOOKUP to compare actual regional sales with their 
targets. </t>
  </si>
  <si>
    <t xml:space="preserve">Your manager asks you to prepare a summary report. First, use VLOOKUP to fetch the 
Product Name and Price per Unit for each sale from the Product_Master sheet. Next, 
calculate Total Sales Value by multiplying Units Sold by Price per Unit and then use the 
SUM function to find the total revenue generated.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</si>
</sst>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/>
    <xf numFmtId="0" fontId="0" fillId="0" borderId="1" xfId="0" applyBorder="1"/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workbookViewId="0">
      <selection activeCell="C14" sqref="C14"/>
    </sheetView>
  </sheetViews>
  <sheetFormatPr defaultColWidth="12.6328125" defaultRowHeight="15.75" customHeight="1" x14ac:dyDescent="0.25"/>
  <cols>
    <col min="1" max="1" width="11.453125" bestFit="1" customWidth="1"/>
  </cols>
  <sheetData>
    <row r="1" spans="1: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</row>
    <row r="3" spans="1:6" ht="15.7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</row>
    <row r="4" spans="1:6" ht="15.7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</row>
    <row r="5" spans="1:6" ht="15.7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</row>
    <row r="6" spans="1:6" ht="15.75" customHeight="1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</row>
    <row r="7" spans="1:6" ht="15.75" customHeight="1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</row>
    <row r="8" spans="1:6" ht="15.75" customHeight="1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</row>
    <row r="9" spans="1:6" ht="15.75" customHeight="1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</row>
    <row r="10" spans="1:6" ht="15.75" customHeight="1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</row>
    <row r="11" spans="1:6" ht="15.75" customHeight="1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</row>
    <row r="14" spans="1:6" ht="15.75" customHeight="1" x14ac:dyDescent="0.25">
      <c r="C14">
        <f>45000+48000+70000</f>
        <v>163000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5"/>
  <sheetViews>
    <sheetView zoomScale="91" workbookViewId="0">
      <selection activeCell="H17" sqref="H17"/>
    </sheetView>
  </sheetViews>
  <sheetFormatPr defaultColWidth="12.6328125" defaultRowHeight="15.75" customHeight="1" x14ac:dyDescent="0.25"/>
  <cols>
    <col min="5" max="5" width="22.90625" bestFit="1" customWidth="1"/>
    <col min="6" max="6" width="16.08984375" bestFit="1" customWidth="1"/>
  </cols>
  <sheetData>
    <row r="1" spans="1:12" ht="13" x14ac:dyDescent="0.3">
      <c r="A1" s="1" t="s">
        <v>3</v>
      </c>
      <c r="B1" s="1" t="s">
        <v>35</v>
      </c>
      <c r="C1" s="1" t="s">
        <v>36</v>
      </c>
      <c r="D1" s="1" t="s">
        <v>37</v>
      </c>
    </row>
    <row r="2" spans="1:12" ht="15.75" customHeight="1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12" ht="15.75" customHeight="1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12" ht="15.75" customHeight="1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12" ht="15.75" customHeight="1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12" ht="15.75" customHeight="1" x14ac:dyDescent="0.25">
      <c r="A6" s="2" t="s">
        <v>24</v>
      </c>
      <c r="B6" s="2" t="s">
        <v>45</v>
      </c>
      <c r="C6" s="2" t="s">
        <v>39</v>
      </c>
      <c r="D6" s="2">
        <v>4000</v>
      </c>
    </row>
    <row r="8" spans="1:12" ht="15.75" customHeight="1" x14ac:dyDescent="0.3">
      <c r="B8" s="3" t="s">
        <v>3</v>
      </c>
      <c r="C8" s="4" t="s">
        <v>35</v>
      </c>
      <c r="D8" s="4" t="s">
        <v>37</v>
      </c>
      <c r="E8" s="5" t="s">
        <v>47</v>
      </c>
      <c r="F8" s="5" t="s">
        <v>48</v>
      </c>
      <c r="H8" s="10" t="s">
        <v>53</v>
      </c>
      <c r="I8" s="10"/>
      <c r="J8" s="10"/>
      <c r="K8" s="10"/>
      <c r="L8" s="10"/>
    </row>
    <row r="9" spans="1:12" ht="15.75" customHeight="1" x14ac:dyDescent="0.25">
      <c r="B9" s="6" t="s">
        <v>9</v>
      </c>
      <c r="C9" s="7" t="str">
        <f>VLOOKUP(A2, $A$2:$D$6, 2, FALSE)</f>
        <v>Laptop</v>
      </c>
      <c r="D9" s="7">
        <f>VLOOKUP(C9,B2:D6,3,FALSE)</f>
        <v>3000</v>
      </c>
      <c r="E9" s="7">
        <f ca="1">SUMIF(Sales_Data!D1:E11,Product_Master!B9,Sales_Data!E1:E11)</f>
        <v>45</v>
      </c>
      <c r="F9" s="7">
        <f ca="1">D9*E9</f>
        <v>135000</v>
      </c>
      <c r="H9" s="10"/>
      <c r="I9" s="10"/>
      <c r="J9" s="10"/>
      <c r="K9" s="10"/>
      <c r="L9" s="10"/>
    </row>
    <row r="10" spans="1:12" ht="15.75" customHeight="1" x14ac:dyDescent="0.25">
      <c r="B10" s="6" t="s">
        <v>13</v>
      </c>
      <c r="C10" s="7" t="str">
        <f t="shared" ref="C10:C13" si="0">VLOOKUP(A3, $A$2:$D$6, 2, FALSE)</f>
        <v>Smartphone</v>
      </c>
      <c r="D10" s="7">
        <f t="shared" ref="D10:D13" si="1">VLOOKUP(C10,B3:D7,3,FALSE)</f>
        <v>3000</v>
      </c>
      <c r="E10" s="7">
        <f ca="1">SUMIF(Sales_Data!D2:E12,Product_Master!B10,Sales_Data!E2:E12)</f>
        <v>38</v>
      </c>
      <c r="F10" s="7">
        <f t="shared" ref="F10:F13" ca="1" si="2">D10*E10</f>
        <v>114000</v>
      </c>
      <c r="H10" s="10"/>
      <c r="I10" s="10"/>
      <c r="J10" s="10"/>
      <c r="K10" s="10"/>
      <c r="L10" s="10"/>
    </row>
    <row r="11" spans="1:12" ht="15.75" customHeight="1" x14ac:dyDescent="0.25">
      <c r="B11" s="6" t="s">
        <v>17</v>
      </c>
      <c r="C11" s="7" t="str">
        <f t="shared" si="0"/>
        <v>Headphones</v>
      </c>
      <c r="D11" s="7">
        <f t="shared" si="1"/>
        <v>3500</v>
      </c>
      <c r="E11" s="7">
        <f ca="1">SUMIF(Sales_Data!D3:E13,Product_Master!B11,Sales_Data!E3:E13)</f>
        <v>32</v>
      </c>
      <c r="F11" s="7">
        <f t="shared" ca="1" si="2"/>
        <v>112000</v>
      </c>
      <c r="H11" s="10"/>
      <c r="I11" s="10"/>
      <c r="J11" s="10"/>
      <c r="K11" s="10"/>
      <c r="L11" s="10"/>
    </row>
    <row r="12" spans="1:12" ht="15.75" customHeight="1" x14ac:dyDescent="0.25">
      <c r="B12" s="6" t="s">
        <v>21</v>
      </c>
      <c r="C12" s="7" t="str">
        <f>VLOOKUP(A5, $A$2:$D$6, 2, FALSE)</f>
        <v>Printer</v>
      </c>
      <c r="D12" s="7">
        <f t="shared" si="1"/>
        <v>5000</v>
      </c>
      <c r="E12" s="7">
        <f ca="1">SUMIF(Sales_Data!D4:E14,Product_Master!B12,Sales_Data!E4:E14)</f>
        <v>39</v>
      </c>
      <c r="F12" s="7">
        <f t="shared" ca="1" si="2"/>
        <v>195000</v>
      </c>
      <c r="H12" s="10"/>
      <c r="I12" s="10"/>
      <c r="J12" s="10"/>
      <c r="K12" s="10"/>
      <c r="L12" s="10"/>
    </row>
    <row r="13" spans="1:12" ht="15.75" customHeight="1" x14ac:dyDescent="0.25">
      <c r="B13" s="6" t="s">
        <v>24</v>
      </c>
      <c r="C13" s="7" t="str">
        <f t="shared" si="0"/>
        <v>Monitor</v>
      </c>
      <c r="D13" s="7">
        <f t="shared" si="1"/>
        <v>4000</v>
      </c>
      <c r="E13" s="7">
        <f ca="1">SUMIF(Sales_Data!D5:E15,Product_Master!B13,Sales_Data!E5:E15)</f>
        <v>20</v>
      </c>
      <c r="F13" s="7">
        <f t="shared" ca="1" si="2"/>
        <v>80000</v>
      </c>
      <c r="H13" s="10"/>
      <c r="I13" s="10"/>
      <c r="J13" s="10"/>
      <c r="K13" s="10"/>
      <c r="L13" s="10"/>
    </row>
    <row r="14" spans="1:12" ht="15.75" customHeight="1" x14ac:dyDescent="0.25">
      <c r="H14" s="10"/>
      <c r="I14" s="10"/>
      <c r="J14" s="10"/>
      <c r="K14" s="10"/>
      <c r="L14" s="10"/>
    </row>
    <row r="15" spans="1:12" ht="15.75" customHeight="1" x14ac:dyDescent="0.3">
      <c r="E15" s="8" t="s">
        <v>49</v>
      </c>
      <c r="F15" s="9">
        <f ca="1">SUM(F9:F13)</f>
        <v>636000</v>
      </c>
    </row>
  </sheetData>
  <mergeCells count="1">
    <mergeCell ref="H8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1"/>
  <sheetViews>
    <sheetView tabSelected="1" zoomScale="85" zoomScaleNormal="85" workbookViewId="0">
      <selection activeCell="F12" sqref="F12"/>
    </sheetView>
  </sheetViews>
  <sheetFormatPr defaultColWidth="12.6328125" defaultRowHeight="15.75" customHeight="1" x14ac:dyDescent="0.25"/>
  <sheetData>
    <row r="1" spans="1:11" ht="13" x14ac:dyDescent="0.3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  <c r="F1" s="1"/>
    </row>
    <row r="2" spans="1:11" ht="15.75" customHeight="1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  <c r="F2" s="2"/>
    </row>
    <row r="5" spans="1:11" ht="15.75" customHeight="1" x14ac:dyDescent="0.25">
      <c r="H5" s="10" t="s">
        <v>52</v>
      </c>
      <c r="I5" s="10"/>
      <c r="J5" s="10"/>
      <c r="K5" s="10"/>
    </row>
    <row r="6" spans="1:11" ht="15.75" customHeight="1" x14ac:dyDescent="0.3">
      <c r="C6" s="4" t="s">
        <v>2</v>
      </c>
      <c r="D6" s="4" t="s">
        <v>50</v>
      </c>
      <c r="E6" s="4" t="s">
        <v>46</v>
      </c>
      <c r="F6" s="5" t="s">
        <v>51</v>
      </c>
      <c r="H6" s="10"/>
      <c r="I6" s="10"/>
      <c r="J6" s="10"/>
      <c r="K6" s="10"/>
    </row>
    <row r="7" spans="1:11" ht="15.75" customHeight="1" x14ac:dyDescent="0.25">
      <c r="C7" s="7" t="s">
        <v>8</v>
      </c>
      <c r="D7" s="7">
        <f ca="1">SUMIF(Sales_Data!C1:F11,Sales_Data!C2,Sales_Data!F1:F11)</f>
        <v>163000</v>
      </c>
      <c r="E7" s="7">
        <f>HLOOKUP(C7,$A$1:$E$2,2,FALSE)</f>
        <v>150000</v>
      </c>
      <c r="F7" s="7">
        <f ca="1">D7-E7</f>
        <v>13000</v>
      </c>
      <c r="H7" s="10"/>
      <c r="I7" s="10"/>
      <c r="J7" s="10"/>
      <c r="K7" s="10"/>
    </row>
    <row r="8" spans="1:11" ht="15.75" customHeight="1" x14ac:dyDescent="0.25">
      <c r="C8" s="7" t="s">
        <v>12</v>
      </c>
      <c r="D8" s="7">
        <f ca="1">SUMIF(Sales_Data!C2:F12,Sales_Data!C3,Sales_Data!F2:F12)</f>
        <v>137000</v>
      </c>
      <c r="E8" s="7">
        <f t="shared" ref="E8:E10" si="0">HLOOKUP(C8,$A$1:$E$2,2,FALSE)</f>
        <v>140000</v>
      </c>
      <c r="F8" s="7">
        <f t="shared" ref="F8:F10" ca="1" si="1">D8-E8</f>
        <v>-3000</v>
      </c>
      <c r="H8" s="10"/>
      <c r="I8" s="10"/>
      <c r="J8" s="10"/>
      <c r="K8" s="10"/>
    </row>
    <row r="9" spans="1:11" ht="15.75" customHeight="1" x14ac:dyDescent="0.25">
      <c r="C9" s="7" t="s">
        <v>16</v>
      </c>
      <c r="D9" s="7">
        <f ca="1">SUMIF(Sales_Data!C3:F13,Sales_Data!C4,Sales_Data!F3:F13)</f>
        <v>121000</v>
      </c>
      <c r="E9" s="7">
        <f t="shared" si="0"/>
        <v>120000</v>
      </c>
      <c r="F9" s="7">
        <f t="shared" ca="1" si="1"/>
        <v>1000</v>
      </c>
    </row>
    <row r="10" spans="1:11" ht="15.75" customHeight="1" x14ac:dyDescent="0.25">
      <c r="C10" s="7" t="s">
        <v>20</v>
      </c>
      <c r="D10" s="7">
        <f ca="1">SUMIF(Sales_Data!C4:F14,Sales_Data!C5,Sales_Data!F4:F14)</f>
        <v>215000</v>
      </c>
      <c r="E10" s="7">
        <f t="shared" si="0"/>
        <v>160000</v>
      </c>
      <c r="F10" s="7">
        <f ca="1">D10-E10</f>
        <v>55000</v>
      </c>
    </row>
    <row r="11" spans="1:11" ht="15.75" customHeight="1" x14ac:dyDescent="0.25">
      <c r="C11" s="6"/>
      <c r="D11" s="7"/>
      <c r="E11" s="7"/>
      <c r="F11" s="7"/>
    </row>
  </sheetData>
  <mergeCells count="1">
    <mergeCell ref="H5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yashda uike</cp:lastModifiedBy>
  <dcterms:modified xsi:type="dcterms:W3CDTF">2025-11-01T08:01:58Z</dcterms:modified>
</cp:coreProperties>
</file>